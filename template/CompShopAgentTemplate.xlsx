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gmresorts.sharepoint.com/sites/RegionalEast/Shared Documents/MGM Grand Detroit (DET)/H. Derian/Comp Shop/Detroit/"/>
    </mc:Choice>
  </mc:AlternateContent>
  <xr:revisionPtr revIDLastSave="25" documentId="8_{3D305F7F-73AF-49F1-850B-B6AE79C76F3A}" xr6:coauthVersionLast="47" xr6:coauthVersionMax="47" xr10:uidLastSave="{B8675BA4-8D8A-4253-9481-FC6D4B326DD2}"/>
  <bookViews>
    <workbookView xWindow="-120" yWindow="-120" windowWidth="29040" windowHeight="15720" activeTab="2" xr2:uid="{6FD922C3-AE93-4AF6-9FC7-443BC5B9CD58}"/>
  </bookViews>
  <sheets>
    <sheet name="Data" sheetId="4" r:id="rId1"/>
    <sheet name="REFERENCE" sheetId="2" r:id="rId2"/>
    <sheet name="Sample Data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J4" i="5"/>
  <c r="J5" i="5"/>
  <c r="J2" i="5"/>
</calcChain>
</file>

<file path=xl/sharedStrings.xml><?xml version="1.0" encoding="utf-8"?>
<sst xmlns="http://schemas.openxmlformats.org/spreadsheetml/2006/main" count="178" uniqueCount="113">
  <si>
    <t>Property</t>
  </si>
  <si>
    <t>Competitor</t>
  </si>
  <si>
    <t>StartDate</t>
  </si>
  <si>
    <t>EndDate</t>
  </si>
  <si>
    <t>Type</t>
  </si>
  <si>
    <t>Segment</t>
  </si>
  <si>
    <t>SegAmount</t>
  </si>
  <si>
    <t>Category</t>
  </si>
  <si>
    <t>Name</t>
  </si>
  <si>
    <t>Description</t>
  </si>
  <si>
    <t>MGM Detroit</t>
  </si>
  <si>
    <t>MGM Las Vegas</t>
  </si>
  <si>
    <t>MGM Biloxi</t>
  </si>
  <si>
    <t>MGM Atlantic City</t>
  </si>
  <si>
    <t>MGM Springfield</t>
  </si>
  <si>
    <t>MGM Tunica</t>
  </si>
  <si>
    <t>MGM Northfield Park</t>
  </si>
  <si>
    <t>MGM New York Empire</t>
  </si>
  <si>
    <t>MGM National Harbor</t>
  </si>
  <si>
    <t>Harrah's Gulf Coast</t>
  </si>
  <si>
    <t>.MGM National Harbor</t>
  </si>
  <si>
    <t>Maryland Live!</t>
  </si>
  <si>
    <t>.MGM Springfield</t>
  </si>
  <si>
    <t>Resorts World NYC</t>
  </si>
  <si>
    <t>.Borgata</t>
  </si>
  <si>
    <t>.Empire City</t>
  </si>
  <si>
    <t>Hard Rock</t>
  </si>
  <si>
    <t>Fitz Casino</t>
  </si>
  <si>
    <t>Hollywood Mahoning Valley</t>
  </si>
  <si>
    <t>Horseshoe Tunica</t>
  </si>
  <si>
    <t>Horseshoe Baltimore</t>
  </si>
  <si>
    <t>Greektown</t>
  </si>
  <si>
    <t>Hollywood Toledo</t>
  </si>
  <si>
    <t>.Gold Strike</t>
  </si>
  <si>
    <t>Plainridge Park</t>
  </si>
  <si>
    <t>.Beau Rivage</t>
  </si>
  <si>
    <t>MGM</t>
  </si>
  <si>
    <t>Rose Casino Resort</t>
  </si>
  <si>
    <t>Scarlet Pearl</t>
  </si>
  <si>
    <t>.MGM Northfield Park</t>
  </si>
  <si>
    <t>Hard Rock Casino</t>
  </si>
  <si>
    <t>Resorts World</t>
  </si>
  <si>
    <t>Southland Casino</t>
  </si>
  <si>
    <t>Caesars</t>
  </si>
  <si>
    <t>Venetian</t>
  </si>
  <si>
    <t>Mohegan Sun</t>
  </si>
  <si>
    <t>Motor City</t>
  </si>
  <si>
    <t>Golden Nugget</t>
  </si>
  <si>
    <t>Resorts World Catskills</t>
  </si>
  <si>
    <t>Hollywood Charles Town</t>
  </si>
  <si>
    <t>Foxwoods</t>
  </si>
  <si>
    <t>Encore</t>
  </si>
  <si>
    <t>Jack Thistledown</t>
  </si>
  <si>
    <t>Jack Cleveland</t>
  </si>
  <si>
    <t>.MGM Grand Detroit</t>
  </si>
  <si>
    <t>Wynn</t>
  </si>
  <si>
    <t>TCOLV</t>
  </si>
  <si>
    <t>Tropicana</t>
  </si>
  <si>
    <t>Ocean Casino</t>
  </si>
  <si>
    <t>Island View</t>
  </si>
  <si>
    <t>Resorts World Hudson Valley</t>
  </si>
  <si>
    <t>Newsletter</t>
  </si>
  <si>
    <t>Promotion</t>
  </si>
  <si>
    <t>Bonus</t>
  </si>
  <si>
    <t>Drawing</t>
  </si>
  <si>
    <t>Gift</t>
  </si>
  <si>
    <t>Earn</t>
  </si>
  <si>
    <t>Entertainment</t>
  </si>
  <si>
    <t>Event</t>
  </si>
  <si>
    <t>F&amp;B</t>
  </si>
  <si>
    <t>FREEPLAY</t>
  </si>
  <si>
    <t>Kiosk</t>
  </si>
  <si>
    <t>Multiplier</t>
  </si>
  <si>
    <t>Tournament</t>
  </si>
  <si>
    <t>Points to FREEPLAY</t>
  </si>
  <si>
    <t>VIP</t>
  </si>
  <si>
    <t>MGM Property Name</t>
  </si>
  <si>
    <t>Competitor Name or MGM Property Name</t>
  </si>
  <si>
    <t>Start Date of Promotion</t>
  </si>
  <si>
    <t>End Date of Promotion</t>
  </si>
  <si>
    <t>Newsletter (Core) offer or Calendar Promotion</t>
  </si>
  <si>
    <t>Slot or Tables</t>
  </si>
  <si>
    <t>Dollar amount of Segment</t>
  </si>
  <si>
    <t>Promotion Category</t>
  </si>
  <si>
    <t>Promotion Name</t>
  </si>
  <si>
    <t>Description of Promotion or Offer</t>
  </si>
  <si>
    <t>RW NY</t>
  </si>
  <si>
    <t>RW HV</t>
  </si>
  <si>
    <t>S$150</t>
  </si>
  <si>
    <t>S$600</t>
  </si>
  <si>
    <t>ETG$300</t>
  </si>
  <si>
    <t>S$300</t>
  </si>
  <si>
    <t>HR AC</t>
  </si>
  <si>
    <t>S$100</t>
  </si>
  <si>
    <t>S$500</t>
  </si>
  <si>
    <t>T$500</t>
  </si>
  <si>
    <t>Caesars AC</t>
  </si>
  <si>
    <t>OfferAmt</t>
  </si>
  <si>
    <t>Dollar amount of offer. Use minumum if a range.</t>
  </si>
  <si>
    <t>PrizeAmtMin</t>
  </si>
  <si>
    <t>PrizeAmtMax</t>
  </si>
  <si>
    <t>PromotionMonth</t>
  </si>
  <si>
    <t>PromotionYear</t>
  </si>
  <si>
    <t>Source</t>
  </si>
  <si>
    <t>NA</t>
  </si>
  <si>
    <t>Hello '26 Bonus</t>
  </si>
  <si>
    <t>Comp/Earn FP</t>
  </si>
  <si>
    <t>One comp redemption - $20</t>
  </si>
  <si>
    <t>One comp redemption - $45</t>
  </si>
  <si>
    <t>One comp redemption - $85</t>
  </si>
  <si>
    <t>Hotel</t>
  </si>
  <si>
    <t>Other</t>
  </si>
  <si>
    <t>S100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</si>
</sst>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6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vertic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59C9-864B-4D1B-B656-A137659A9A88}">
  <sheetPr codeName="Sheet1"/>
  <dimension ref="A1:O151"/>
  <sheetViews>
    <sheetView workbookViewId="0">
      <selection activeCell="A2" sqref="A2"/>
    </sheetView>
  </sheetViews>
  <sheetFormatPr defaultRowHeight="15" x14ac:dyDescent="0.25"/>
  <cols>
    <col min="1" max="1" width="20.85546875" bestFit="1" customWidth="1"/>
    <col min="2" max="2" width="11.42578125" bestFit="1" customWidth="1"/>
    <col min="3" max="3" width="13" style="4" customWidth="1"/>
    <col min="4" max="4" width="13.85546875" style="4" customWidth="1"/>
    <col min="5" max="5" width="10.28515625" bestFit="1" customWidth="1"/>
    <col min="6" max="6" width="9" bestFit="1" customWidth="1"/>
    <col min="7" max="7" width="9.28515625" bestFit="1" customWidth="1"/>
    <col min="8" max="8" width="12.28515625" bestFit="1" customWidth="1"/>
    <col min="9" max="9" width="12.5703125" bestFit="1" customWidth="1"/>
    <col min="10" max="10" width="16.28515625" bestFit="1" customWidth="1"/>
    <col min="11" max="11" width="14.5703125" bestFit="1" customWidth="1"/>
    <col min="12" max="12" width="11.140625" customWidth="1"/>
    <col min="13" max="13" width="33" bestFit="1" customWidth="1"/>
    <col min="14" max="14" width="41.140625" customWidth="1"/>
  </cols>
  <sheetData>
    <row r="1" spans="1:15" s="1" customFormat="1" x14ac:dyDescent="0.2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97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7</v>
      </c>
      <c r="M1" s="1" t="s">
        <v>8</v>
      </c>
      <c r="N1" s="1" t="s">
        <v>9</v>
      </c>
      <c r="O1" s="1" t="s">
        <v>103</v>
      </c>
    </row>
    <row r="140" spans="13:13" x14ac:dyDescent="0.25">
      <c r="M140" s="2"/>
    </row>
    <row r="141" spans="13:13" x14ac:dyDescent="0.25">
      <c r="M141" s="2"/>
    </row>
    <row r="142" spans="13:13" x14ac:dyDescent="0.25">
      <c r="M142" s="2"/>
    </row>
    <row r="143" spans="13:13" x14ac:dyDescent="0.25">
      <c r="M143" s="2"/>
    </row>
    <row r="144" spans="13:13" x14ac:dyDescent="0.25">
      <c r="M144" s="2"/>
    </row>
    <row r="145" spans="13:13" x14ac:dyDescent="0.25">
      <c r="M145" s="2"/>
    </row>
    <row r="146" spans="13:13" x14ac:dyDescent="0.25">
      <c r="M146" s="2"/>
    </row>
    <row r="147" spans="13:13" x14ac:dyDescent="0.25">
      <c r="M147" s="2"/>
    </row>
    <row r="148" spans="13:13" x14ac:dyDescent="0.25">
      <c r="M148" s="2"/>
    </row>
    <row r="149" spans="13:13" x14ac:dyDescent="0.25">
      <c r="M149" s="2"/>
    </row>
    <row r="150" spans="13:13" x14ac:dyDescent="0.25">
      <c r="M150" s="2"/>
    </row>
    <row r="151" spans="13:13" x14ac:dyDescent="0.25">
      <c r="M151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7FC2CA3-A005-47A3-8369-76E49F59B95B}">
          <x14:formula1>
            <xm:f>REFERENCE!$O$2:$O$15</xm:f>
          </x14:formula1>
          <xm:sqref>L2:L4</xm:sqref>
        </x14:dataValidation>
        <x14:dataValidation type="list" allowBlank="1" showInputMessage="1" showErrorMessage="1" xr:uid="{018148F1-110C-4F79-BD23-046F9051A271}">
          <x14:formula1>
            <xm:f>REFERENCE!$H$2:$H$3</xm:f>
          </x14:formula1>
          <xm:sqref>E2:E4</xm:sqref>
        </x14:dataValidation>
        <x14:dataValidation type="list" allowBlank="1" showInputMessage="1" showErrorMessage="1" xr:uid="{4C34A2E1-4865-4BF4-B84B-9C76B61F3EBB}">
          <x14:formula1>
            <xm:f>REFERENCE!$G$2:$G$43</xm:f>
          </x14:formula1>
          <xm:sqref>B2:B151</xm:sqref>
        </x14:dataValidation>
        <x14:dataValidation type="list" allowBlank="1" showInputMessage="1" showErrorMessage="1" xr:uid="{C8887421-94C1-4294-9E7C-C2BF005301D7}">
          <x14:formula1>
            <xm:f>REFERENCE!$F$2:$F$10</xm:f>
          </x14:formula1>
          <xm:sqref>A2:A151</xm:sqref>
        </x14:dataValidation>
        <x14:dataValidation type="list" allowBlank="1" showInputMessage="1" showErrorMessage="1" xr:uid="{BE9F37BD-3701-4F1D-B2E0-5A480E42B48F}">
          <x14:formula1>
            <xm:f>REFERENCE!$O$1:$O$15</xm:f>
          </x14:formula1>
          <xm:sqref>L5:L1048576</xm:sqref>
        </x14:dataValidation>
        <x14:dataValidation type="list" allowBlank="1" showInputMessage="1" showErrorMessage="1" xr:uid="{478A00C6-82AC-4898-922C-B764D0695059}">
          <x14:formula1>
            <xm:f>REFERENCE!$H$1:$H$3</xm:f>
          </x14:formula1>
          <xm:sqref>E5:E1048576</xm:sqref>
        </x14:dataValidation>
        <x14:dataValidation type="list" allowBlank="1" showInputMessage="1" showErrorMessage="1" xr:uid="{FC85ACFB-96F4-4798-BE9C-CD4BA0DC255F}">
          <x14:formula1>
            <xm:f>REFERENCE!$G$1:$G$43</xm:f>
          </x14:formula1>
          <xm:sqref>B152:B1048576</xm:sqref>
        </x14:dataValidation>
        <x14:dataValidation type="list" allowBlank="1" showInputMessage="1" showErrorMessage="1" xr:uid="{7F2B3C92-27FE-462E-85B1-18B259E33277}">
          <x14:formula1>
            <xm:f>REFERENCE!$F$1:$F$10</xm:f>
          </x14:formula1>
          <xm:sqref>A152:A1048576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A946-0112-48B0-8EA2-B62A3FB2D277}">
  <sheetPr codeName="Sheet3"/>
  <dimension ref="A1:Z43"/>
  <sheetViews>
    <sheetView showGridLines="0" workbookViewId="0">
      <selection activeCell="O17" sqref="O17"/>
    </sheetView>
  </sheetViews>
  <sheetFormatPr defaultRowHeight="15" x14ac:dyDescent="0.25"/>
  <cols>
    <col min="1" max="1" width="10.5703125" bestFit="1" customWidth="1"/>
    <col min="2" max="2" width="40.140625" bestFit="1" customWidth="1"/>
    <col min="6" max="6" width="19.85546875" bestFit="1" customWidth="1"/>
    <col min="7" max="7" width="25.5703125" bestFit="1" customWidth="1"/>
    <col min="8" max="8" width="9.85546875" bestFit="1" customWidth="1"/>
    <col min="11" max="11" width="12" bestFit="1" customWidth="1"/>
    <col min="12" max="12" width="12.28515625" bestFit="1" customWidth="1"/>
    <col min="13" max="13" width="16" bestFit="1" customWidth="1"/>
    <col min="14" max="14" width="14.28515625" bestFit="1" customWidth="1"/>
    <col min="15" max="15" width="16.85546875" bestFit="1" customWidth="1"/>
    <col min="17" max="17" width="10.5703125" bestFit="1" customWidth="1"/>
    <col min="23" max="23" width="12.85546875" hidden="1" customWidth="1"/>
    <col min="24" max="26" width="0" hidden="1" customWidth="1"/>
  </cols>
  <sheetData>
    <row r="1" spans="1:26" x14ac:dyDescent="0.25">
      <c r="A1" s="1" t="s">
        <v>0</v>
      </c>
      <c r="B1" t="s">
        <v>76</v>
      </c>
      <c r="F1" t="s">
        <v>0</v>
      </c>
      <c r="G1" t="s">
        <v>1</v>
      </c>
      <c r="H1" t="s">
        <v>4</v>
      </c>
      <c r="I1" t="s">
        <v>5</v>
      </c>
      <c r="J1" t="s">
        <v>97</v>
      </c>
      <c r="K1" t="s">
        <v>99</v>
      </c>
      <c r="L1" t="s">
        <v>100</v>
      </c>
      <c r="M1" t="s">
        <v>101</v>
      </c>
      <c r="N1" t="s">
        <v>102</v>
      </c>
      <c r="O1" t="s">
        <v>7</v>
      </c>
      <c r="P1" t="s">
        <v>8</v>
      </c>
      <c r="Q1" t="s">
        <v>9</v>
      </c>
      <c r="W1" t="s">
        <v>86</v>
      </c>
      <c r="X1" t="s">
        <v>88</v>
      </c>
      <c r="Y1" t="s">
        <v>89</v>
      </c>
      <c r="Z1" t="s">
        <v>90</v>
      </c>
    </row>
    <row r="2" spans="1:26" x14ac:dyDescent="0.25">
      <c r="A2" s="1" t="s">
        <v>1</v>
      </c>
      <c r="B2" t="s">
        <v>77</v>
      </c>
      <c r="F2" t="s">
        <v>11</v>
      </c>
      <c r="G2" t="s">
        <v>19</v>
      </c>
      <c r="H2" t="s">
        <v>61</v>
      </c>
      <c r="O2" t="s">
        <v>61</v>
      </c>
      <c r="W2" t="s">
        <v>87</v>
      </c>
      <c r="X2" t="s">
        <v>91</v>
      </c>
    </row>
    <row r="3" spans="1:26" x14ac:dyDescent="0.25">
      <c r="A3" s="1" t="s">
        <v>2</v>
      </c>
      <c r="B3" t="s">
        <v>78</v>
      </c>
      <c r="F3" t="s">
        <v>12</v>
      </c>
      <c r="G3" t="s">
        <v>20</v>
      </c>
      <c r="H3" t="s">
        <v>62</v>
      </c>
      <c r="O3" t="s">
        <v>63</v>
      </c>
    </row>
    <row r="4" spans="1:26" x14ac:dyDescent="0.25">
      <c r="A4" s="1" t="s">
        <v>3</v>
      </c>
      <c r="B4" t="s">
        <v>79</v>
      </c>
      <c r="F4" t="s">
        <v>13</v>
      </c>
      <c r="G4" t="s">
        <v>21</v>
      </c>
      <c r="O4" t="s">
        <v>64</v>
      </c>
      <c r="W4" t="s">
        <v>92</v>
      </c>
      <c r="X4" t="s">
        <v>93</v>
      </c>
      <c r="Y4" t="s">
        <v>94</v>
      </c>
      <c r="Z4" t="s">
        <v>95</v>
      </c>
    </row>
    <row r="5" spans="1:26" x14ac:dyDescent="0.25">
      <c r="A5" s="1" t="s">
        <v>4</v>
      </c>
      <c r="B5" t="s">
        <v>80</v>
      </c>
      <c r="F5" t="s">
        <v>14</v>
      </c>
      <c r="G5" t="s">
        <v>22</v>
      </c>
      <c r="O5" t="s">
        <v>65</v>
      </c>
      <c r="W5" t="s">
        <v>96</v>
      </c>
      <c r="X5" t="s">
        <v>93</v>
      </c>
      <c r="Y5" t="s">
        <v>94</v>
      </c>
    </row>
    <row r="6" spans="1:26" x14ac:dyDescent="0.25">
      <c r="A6" s="1" t="s">
        <v>5</v>
      </c>
      <c r="B6" t="s">
        <v>81</v>
      </c>
      <c r="F6" t="s">
        <v>15</v>
      </c>
      <c r="G6" t="s">
        <v>23</v>
      </c>
      <c r="O6" t="s">
        <v>66</v>
      </c>
      <c r="W6" t="s">
        <v>58</v>
      </c>
      <c r="X6" t="s">
        <v>93</v>
      </c>
      <c r="Y6" t="s">
        <v>94</v>
      </c>
      <c r="Z6" t="s">
        <v>95</v>
      </c>
    </row>
    <row r="7" spans="1:26" x14ac:dyDescent="0.25">
      <c r="A7" s="1" t="s">
        <v>6</v>
      </c>
      <c r="B7" t="s">
        <v>82</v>
      </c>
      <c r="F7" t="s">
        <v>10</v>
      </c>
      <c r="G7" t="s">
        <v>24</v>
      </c>
      <c r="O7" t="s">
        <v>67</v>
      </c>
    </row>
    <row r="8" spans="1:26" x14ac:dyDescent="0.25">
      <c r="A8" s="1" t="s">
        <v>7</v>
      </c>
      <c r="B8" t="s">
        <v>83</v>
      </c>
      <c r="F8" t="s">
        <v>16</v>
      </c>
      <c r="G8" t="s">
        <v>25</v>
      </c>
      <c r="O8" t="s">
        <v>68</v>
      </c>
    </row>
    <row r="9" spans="1:26" x14ac:dyDescent="0.25">
      <c r="A9" s="1" t="s">
        <v>97</v>
      </c>
      <c r="B9" t="s">
        <v>98</v>
      </c>
      <c r="F9" t="s">
        <v>17</v>
      </c>
      <c r="G9" t="s">
        <v>26</v>
      </c>
      <c r="O9" t="s">
        <v>69</v>
      </c>
    </row>
    <row r="10" spans="1:26" x14ac:dyDescent="0.25">
      <c r="A10" s="1" t="s">
        <v>8</v>
      </c>
      <c r="B10" t="s">
        <v>84</v>
      </c>
      <c r="F10" t="s">
        <v>18</v>
      </c>
      <c r="G10" t="s">
        <v>27</v>
      </c>
      <c r="O10" t="s">
        <v>70</v>
      </c>
    </row>
    <row r="11" spans="1:26" x14ac:dyDescent="0.25">
      <c r="A11" s="1" t="s">
        <v>9</v>
      </c>
      <c r="B11" t="s">
        <v>85</v>
      </c>
      <c r="G11" t="s">
        <v>28</v>
      </c>
      <c r="O11" t="s">
        <v>71</v>
      </c>
    </row>
    <row r="12" spans="1:26" x14ac:dyDescent="0.25">
      <c r="G12" t="s">
        <v>29</v>
      </c>
      <c r="O12" t="s">
        <v>72</v>
      </c>
    </row>
    <row r="13" spans="1:26" x14ac:dyDescent="0.25">
      <c r="G13" t="s">
        <v>30</v>
      </c>
      <c r="O13" t="s">
        <v>73</v>
      </c>
    </row>
    <row r="14" spans="1:26" x14ac:dyDescent="0.25">
      <c r="G14" t="s">
        <v>31</v>
      </c>
      <c r="O14" t="s">
        <v>74</v>
      </c>
    </row>
    <row r="15" spans="1:26" x14ac:dyDescent="0.25">
      <c r="G15" t="s">
        <v>32</v>
      </c>
      <c r="O15" t="s">
        <v>75</v>
      </c>
    </row>
    <row r="16" spans="1:26" ht="16.5" x14ac:dyDescent="0.25">
      <c r="G16" t="s">
        <v>33</v>
      </c>
      <c r="O16" s="5" t="s">
        <v>110</v>
      </c>
    </row>
    <row r="17" spans="7:15" x14ac:dyDescent="0.25">
      <c r="G17" t="s">
        <v>34</v>
      </c>
      <c r="O17" t="s">
        <v>111</v>
      </c>
    </row>
    <row r="18" spans="7:15" x14ac:dyDescent="0.25">
      <c r="G18" t="s">
        <v>35</v>
      </c>
    </row>
    <row r="19" spans="7:15" x14ac:dyDescent="0.25">
      <c r="G19" t="s">
        <v>36</v>
      </c>
    </row>
    <row r="20" spans="7:15" x14ac:dyDescent="0.25">
      <c r="G20" t="s">
        <v>37</v>
      </c>
    </row>
    <row r="21" spans="7:15" x14ac:dyDescent="0.25">
      <c r="G21" t="s">
        <v>38</v>
      </c>
    </row>
    <row r="22" spans="7:15" x14ac:dyDescent="0.25">
      <c r="G22" t="s">
        <v>39</v>
      </c>
    </row>
    <row r="23" spans="7:15" x14ac:dyDescent="0.25">
      <c r="G23" t="s">
        <v>40</v>
      </c>
    </row>
    <row r="24" spans="7:15" x14ac:dyDescent="0.25">
      <c r="G24" t="s">
        <v>41</v>
      </c>
    </row>
    <row r="25" spans="7:15" x14ac:dyDescent="0.25">
      <c r="G25" t="s">
        <v>42</v>
      </c>
    </row>
    <row r="26" spans="7:15" x14ac:dyDescent="0.25">
      <c r="G26" t="s">
        <v>43</v>
      </c>
    </row>
    <row r="27" spans="7:15" x14ac:dyDescent="0.25">
      <c r="G27" t="s">
        <v>44</v>
      </c>
    </row>
    <row r="28" spans="7:15" x14ac:dyDescent="0.25">
      <c r="G28" t="s">
        <v>45</v>
      </c>
    </row>
    <row r="29" spans="7:15" x14ac:dyDescent="0.25">
      <c r="G29" t="s">
        <v>46</v>
      </c>
    </row>
    <row r="30" spans="7:15" x14ac:dyDescent="0.25">
      <c r="G30" t="s">
        <v>47</v>
      </c>
    </row>
    <row r="31" spans="7:15" x14ac:dyDescent="0.25">
      <c r="G31" t="s">
        <v>48</v>
      </c>
    </row>
    <row r="32" spans="7:15" x14ac:dyDescent="0.25">
      <c r="G32" t="s">
        <v>49</v>
      </c>
    </row>
    <row r="33" spans="7:7" x14ac:dyDescent="0.25">
      <c r="G33" t="s">
        <v>50</v>
      </c>
    </row>
    <row r="34" spans="7:7" x14ac:dyDescent="0.25">
      <c r="G34" t="s">
        <v>51</v>
      </c>
    </row>
    <row r="35" spans="7:7" x14ac:dyDescent="0.25">
      <c r="G35" t="s">
        <v>52</v>
      </c>
    </row>
    <row r="36" spans="7:7" x14ac:dyDescent="0.25">
      <c r="G36" t="s">
        <v>53</v>
      </c>
    </row>
    <row r="37" spans="7:7" x14ac:dyDescent="0.25">
      <c r="G37" t="s">
        <v>54</v>
      </c>
    </row>
    <row r="38" spans="7:7" x14ac:dyDescent="0.25">
      <c r="G38" t="s">
        <v>55</v>
      </c>
    </row>
    <row r="39" spans="7:7" x14ac:dyDescent="0.25">
      <c r="G39" t="s">
        <v>56</v>
      </c>
    </row>
    <row r="40" spans="7:7" x14ac:dyDescent="0.25">
      <c r="G40" t="s">
        <v>57</v>
      </c>
    </row>
    <row r="41" spans="7:7" x14ac:dyDescent="0.25">
      <c r="G41" t="s">
        <v>58</v>
      </c>
    </row>
    <row r="42" spans="7:7" x14ac:dyDescent="0.25">
      <c r="G42" t="s">
        <v>59</v>
      </c>
    </row>
    <row r="43" spans="7:7" x14ac:dyDescent="0.25">
      <c r="G43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31F88-13D9-453C-9813-80ABAAF52DBC}">
  <dimension ref="A1:O151"/>
  <sheetViews>
    <sheetView tabSelected="1" workbookViewId="0">
      <selection activeCell="J2" sqref="J2:J5"/>
    </sheetView>
  </sheetViews>
  <sheetFormatPr defaultRowHeight="15" x14ac:dyDescent="0.25"/>
  <cols>
    <col min="1" max="1" width="20.85546875" bestFit="1" customWidth="1"/>
    <col min="2" max="2" width="11.42578125" bestFit="1" customWidth="1"/>
    <col min="3" max="3" width="13" style="4" customWidth="1"/>
    <col min="4" max="4" width="13.85546875" style="4" customWidth="1"/>
    <col min="5" max="5" width="10.28515625" bestFit="1" customWidth="1"/>
    <col min="6" max="6" width="9" bestFit="1" customWidth="1"/>
    <col min="7" max="7" width="9.28515625" bestFit="1" customWidth="1"/>
    <col min="8" max="8" width="12.28515625" bestFit="1" customWidth="1"/>
    <col min="9" max="9" width="12.5703125" bestFit="1" customWidth="1"/>
    <col min="10" max="10" width="16.28515625" bestFit="1" customWidth="1"/>
    <col min="11" max="11" width="14.5703125" bestFit="1" customWidth="1"/>
    <col min="12" max="12" width="11.140625" customWidth="1"/>
    <col min="13" max="13" width="33" bestFit="1" customWidth="1"/>
    <col min="14" max="14" width="41.140625" customWidth="1"/>
  </cols>
  <sheetData>
    <row r="1" spans="1:15" s="1" customFormat="1" x14ac:dyDescent="0.2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97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7</v>
      </c>
      <c r="M1" s="1" t="s">
        <v>8</v>
      </c>
      <c r="N1" s="1" t="s">
        <v>9</v>
      </c>
      <c r="O1" s="1" t="s">
        <v>103</v>
      </c>
    </row>
    <row r="2" spans="1:15" x14ac:dyDescent="0.25">
      <c r="A2" t="s">
        <v>17</v>
      </c>
      <c r="B2" t="s">
        <v>25</v>
      </c>
      <c r="C2" s="4">
        <v>46023</v>
      </c>
      <c r="D2" s="4">
        <v>46024</v>
      </c>
      <c r="E2" t="s">
        <v>62</v>
      </c>
      <c r="F2" t="s">
        <v>104</v>
      </c>
      <c r="G2">
        <v>0</v>
      </c>
      <c r="H2">
        <v>0</v>
      </c>
      <c r="I2">
        <v>0</v>
      </c>
      <c r="J2" s="6" t="str">
        <f>TEXT(C2, "mmm")</f>
        <v>Jan</v>
      </c>
      <c r="K2">
        <v>2026</v>
      </c>
      <c r="L2" t="s">
        <v>63</v>
      </c>
      <c r="M2" t="s">
        <v>105</v>
      </c>
      <c r="N2" t="s">
        <v>106</v>
      </c>
    </row>
    <row r="3" spans="1:15" x14ac:dyDescent="0.25">
      <c r="A3" t="s">
        <v>17</v>
      </c>
      <c r="B3" t="s">
        <v>25</v>
      </c>
      <c r="C3" s="4">
        <v>46023</v>
      </c>
      <c r="D3" s="4">
        <v>46024</v>
      </c>
      <c r="E3" t="s">
        <v>62</v>
      </c>
      <c r="F3" t="s">
        <v>112</v>
      </c>
      <c r="G3">
        <v>20</v>
      </c>
      <c r="H3">
        <v>0</v>
      </c>
      <c r="I3">
        <v>0</v>
      </c>
      <c r="J3" s="6" t="str">
        <f t="shared" ref="J3:J5" si="0">TEXT(C3, "mmm")</f>
        <v>Jan</v>
      </c>
      <c r="K3">
        <v>2026</v>
      </c>
      <c r="L3" t="s">
        <v>63</v>
      </c>
      <c r="M3" t="s">
        <v>105</v>
      </c>
      <c r="N3" t="s">
        <v>107</v>
      </c>
    </row>
    <row r="4" spans="1:15" x14ac:dyDescent="0.25">
      <c r="A4" t="s">
        <v>17</v>
      </c>
      <c r="B4" t="s">
        <v>25</v>
      </c>
      <c r="C4" s="4">
        <v>46023</v>
      </c>
      <c r="D4" s="4">
        <v>46024</v>
      </c>
      <c r="E4" t="s">
        <v>62</v>
      </c>
      <c r="F4" t="s">
        <v>112</v>
      </c>
      <c r="G4">
        <v>45</v>
      </c>
      <c r="H4">
        <v>0</v>
      </c>
      <c r="I4">
        <v>0</v>
      </c>
      <c r="J4" s="6" t="str">
        <f t="shared" si="0"/>
        <v>Jan</v>
      </c>
      <c r="K4">
        <v>2026</v>
      </c>
      <c r="L4" t="s">
        <v>63</v>
      </c>
      <c r="M4" t="s">
        <v>105</v>
      </c>
      <c r="N4" t="s">
        <v>108</v>
      </c>
    </row>
    <row r="5" spans="1:15" x14ac:dyDescent="0.25">
      <c r="A5" t="s">
        <v>17</v>
      </c>
      <c r="B5" t="s">
        <v>25</v>
      </c>
      <c r="C5" s="4">
        <v>46023</v>
      </c>
      <c r="D5" s="4">
        <v>46024</v>
      </c>
      <c r="E5" t="s">
        <v>62</v>
      </c>
      <c r="F5" t="s">
        <v>112</v>
      </c>
      <c r="G5">
        <v>85</v>
      </c>
      <c r="H5">
        <v>0</v>
      </c>
      <c r="I5">
        <v>0</v>
      </c>
      <c r="J5" s="6" t="str">
        <f t="shared" si="0"/>
        <v>Jan</v>
      </c>
      <c r="K5">
        <v>2026</v>
      </c>
      <c r="L5" t="s">
        <v>63</v>
      </c>
      <c r="M5" t="s">
        <v>105</v>
      </c>
      <c r="N5" t="s">
        <v>109</v>
      </c>
    </row>
    <row r="140" spans="13:13" x14ac:dyDescent="0.25">
      <c r="M140" s="2"/>
    </row>
    <row r="141" spans="13:13" x14ac:dyDescent="0.25">
      <c r="M141" s="2"/>
    </row>
    <row r="142" spans="13:13" x14ac:dyDescent="0.25">
      <c r="M142" s="2"/>
    </row>
    <row r="143" spans="13:13" x14ac:dyDescent="0.25">
      <c r="M143" s="2"/>
    </row>
    <row r="144" spans="13:13" x14ac:dyDescent="0.25">
      <c r="M144" s="2"/>
    </row>
    <row r="145" spans="13:13" x14ac:dyDescent="0.25">
      <c r="M145" s="2"/>
    </row>
    <row r="146" spans="13:13" x14ac:dyDescent="0.25">
      <c r="M146" s="2"/>
    </row>
    <row r="147" spans="13:13" x14ac:dyDescent="0.25">
      <c r="M147" s="2"/>
    </row>
    <row r="148" spans="13:13" x14ac:dyDescent="0.25">
      <c r="M148" s="2"/>
    </row>
    <row r="149" spans="13:13" x14ac:dyDescent="0.25">
      <c r="M149" s="2"/>
    </row>
    <row r="150" spans="13:13" x14ac:dyDescent="0.25">
      <c r="M150" s="2"/>
    </row>
    <row r="151" spans="13:13" x14ac:dyDescent="0.25">
      <c r="M151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5E11CD8-3241-4776-A68D-50DE1421ED93}">
          <x14:formula1>
            <xm:f>REFERENCE!$F$1:$F$10</xm:f>
          </x14:formula1>
          <xm:sqref>A152:A1048576</xm:sqref>
        </x14:dataValidation>
        <x14:dataValidation type="list" allowBlank="1" showInputMessage="1" showErrorMessage="1" xr:uid="{384FCA8F-8174-41AC-926D-5FED2FCC65C7}">
          <x14:formula1>
            <xm:f>REFERENCE!$G$1:$G$43</xm:f>
          </x14:formula1>
          <xm:sqref>B152:B1048576</xm:sqref>
        </x14:dataValidation>
        <x14:dataValidation type="list" allowBlank="1" showInputMessage="1" showErrorMessage="1" xr:uid="{64C81822-78F1-4C51-B5BF-6E1AE18559C8}">
          <x14:formula1>
            <xm:f>REFERENCE!$H$1:$H$3</xm:f>
          </x14:formula1>
          <xm:sqref>E5:E1048576</xm:sqref>
        </x14:dataValidation>
        <x14:dataValidation type="list" allowBlank="1" showInputMessage="1" showErrorMessage="1" xr:uid="{A927734B-F885-46F1-AF17-8646CC8B73FA}">
          <x14:formula1>
            <xm:f>REFERENCE!$O$1:$O$15</xm:f>
          </x14:formula1>
          <xm:sqref>L5:L1048576</xm:sqref>
        </x14:dataValidation>
        <x14:dataValidation type="list" allowBlank="1" showInputMessage="1" showErrorMessage="1" xr:uid="{4A76B143-60B6-4910-BBE1-C83C4325D4BF}">
          <x14:formula1>
            <xm:f>REFERENCE!$F$2:$F$10</xm:f>
          </x14:formula1>
          <xm:sqref>A2:A151</xm:sqref>
        </x14:dataValidation>
        <x14:dataValidation type="list" allowBlank="1" showInputMessage="1" showErrorMessage="1" xr:uid="{DDFF39E5-59CF-409D-ABD6-C69FA15DA519}">
          <x14:formula1>
            <xm:f>REFERENCE!$G$2:$G$43</xm:f>
          </x14:formula1>
          <xm:sqref>B2:B151</xm:sqref>
        </x14:dataValidation>
        <x14:dataValidation type="list" allowBlank="1" showInputMessage="1" showErrorMessage="1" xr:uid="{A1FA9CF6-24D0-4481-BC50-0D104A047B29}">
          <x14:formula1>
            <xm:f>REFERENCE!$H$2:$H$3</xm:f>
          </x14:formula1>
          <xm:sqref>E2:E4</xm:sqref>
        </x14:dataValidation>
        <x14:dataValidation type="list" allowBlank="1" showInputMessage="1" showErrorMessage="1" xr:uid="{A39A9155-8F90-42AB-8E94-A9A83B4D5E2E}">
          <x14:formula1>
            <xm:f>REFERENCE!$O$2:$O$15</xm:f>
          </x14:formula1>
          <xm:sqref>L2:L4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6c69022c-737b-45fd-98ca-b21e67391978">
      <Terms xmlns="http://schemas.microsoft.com/office/infopath/2007/PartnerControls"/>
    </lcf76f155ced4ddcb4097134ff3c332f>
    <TaxCatchAll xmlns="8a89923f-de29-4185-9f93-6da1b434398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102BB01E045F4D9E027037A4F9E6C0" ma:contentTypeVersion="16" ma:contentTypeDescription="Create a new document." ma:contentTypeScope="" ma:versionID="ed244f4ef6a887c1d889c943c493006d">
  <xsd:schema xmlns:xsd="http://www.w3.org/2001/XMLSchema" xmlns:xs="http://www.w3.org/2001/XMLSchema" xmlns:p="http://schemas.microsoft.com/office/2006/metadata/properties" xmlns:ns1="http://schemas.microsoft.com/sharepoint/v3" xmlns:ns2="6c69022c-737b-45fd-98ca-b21e67391978" xmlns:ns3="8a89923f-de29-4185-9f93-6da1b4343983" targetNamespace="http://schemas.microsoft.com/office/2006/metadata/properties" ma:root="true" ma:fieldsID="5d7bf49028395d316e53a3705294575a" ns1:_="" ns2:_="" ns3:_="">
    <xsd:import namespace="http://schemas.microsoft.com/sharepoint/v3"/>
    <xsd:import namespace="6c69022c-737b-45fd-98ca-b21e67391978"/>
    <xsd:import namespace="8a89923f-de29-4185-9f93-6da1b43439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69022c-737b-45fd-98ca-b21e673919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e6fd69e-27d6-4c38-8621-94f2def0c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9923f-de29-4185-9f93-6da1b434398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0c60804b-3a31-4d3b-b92a-621f19b8101b}" ma:internalName="TaxCatchAll" ma:showField="CatchAllData" ma:web="8a89923f-de29-4185-9f93-6da1b43439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F9BAE0-B77E-442D-AD88-0831F23E9B0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c69022c-737b-45fd-98ca-b21e67391978"/>
    <ds:schemaRef ds:uri="8a89923f-de29-4185-9f93-6da1b4343983"/>
  </ds:schemaRefs>
</ds:datastoreItem>
</file>

<file path=customXml/itemProps2.xml><?xml version="1.0" encoding="utf-8"?>
<ds:datastoreItem xmlns:ds="http://schemas.openxmlformats.org/officeDocument/2006/customXml" ds:itemID="{FEFBF15B-0656-44B6-9604-5DF8493FCB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69022c-737b-45fd-98ca-b21e67391978"/>
    <ds:schemaRef ds:uri="8a89923f-de29-4185-9f93-6da1b43439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23B1D0-B149-4C30-AF8C-0A6BF329A1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REFERENCE</vt:lpstr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Gloede, Stephanie</dc:creator>
  <cp:lastModifiedBy>De La Torre, Derian</cp:lastModifiedBy>
  <dcterms:created xsi:type="dcterms:W3CDTF">2026-01-26T23:56:12Z</dcterms:created>
  <dcterms:modified xsi:type="dcterms:W3CDTF">2026-03-12T17:24:33Z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0x01010047102BB01E045F4D9E027037A4F9E6C0</vt:lpwstr>
  </property>
  <property fmtid="{D5CDD505-2E9C-101B-9397-08002B2CF9AE}" pid="5" name="MediaServiceImageTags">
    <vt:lpwstr/>
  </property>
</Properties>
</file>